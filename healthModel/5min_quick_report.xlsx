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yans/Documents/02_AICoding/Github/rPPG-Toolbox/"/>
    </mc:Choice>
  </mc:AlternateContent>
  <xr:revisionPtr revIDLastSave="0" documentId="8_{EBE48ECB-864F-2E44-BA93-83BEB8B13B53}" xr6:coauthVersionLast="47" xr6:coauthVersionMax="47" xr10:uidLastSave="{00000000-0000-0000-0000-000000000000}"/>
  <bookViews>
    <workbookView xWindow="5540" yWindow="2340" windowWidth="27700" windowHeight="16860" xr2:uid="{A3A7B395-4FA7-3443-AEF7-C02C57E2FDE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4" i="1" l="1"/>
</calcChain>
</file>

<file path=xl/sharedStrings.xml><?xml version="1.0" encoding="utf-8"?>
<sst xmlns="http://schemas.openxmlformats.org/spreadsheetml/2006/main" count="344" uniqueCount="274">
  <si>
    <t>数据计算类</t>
  </si>
  <si>
    <t>有效性</t>
  </si>
  <si>
    <t>体动次数</t>
  </si>
  <si>
    <t>越小越好</t>
  </si>
  <si>
    <t>-</t>
  </si>
  <si>
    <t>频繁体动会影响数据的有效性，一般在3~5之间，数据较为准确</t>
  </si>
  <si>
    <t>数据有效性</t>
  </si>
  <si>
    <t>越大越好</t>
  </si>
  <si>
    <t>数据有效性需要超过50%，评估报告可参考</t>
  </si>
  <si>
    <t>体征数据</t>
  </si>
  <si>
    <t>心率分析</t>
  </si>
  <si>
    <t>平均心率</t>
  </si>
  <si>
    <t>55~70</t>
  </si>
  <si>
    <t>＞93%</t>
  </si>
  <si>
    <t>二类医疗器械对心率测量的允许误差范围通常为士5%；
二类医疗器械要求心率范围为 30~ 250次/分钟；
分钟级平均心率与心电监护仪对比，数据符合率超过93%</t>
  </si>
  <si>
    <t>五分钟内心率的平均值，人的平均心率是60次/分-100次/分</t>
  </si>
  <si>
    <t>基准心率</t>
  </si>
  <si>
    <t>五分钟内按照秒级数据中出现次数最多的心率值，个人健康体征基准数据</t>
  </si>
  <si>
    <t>最低心率</t>
  </si>
  <si>
    <t>40~60</t>
  </si>
  <si>
    <t>五分钟内心率的最低值，参考分析数据</t>
  </si>
  <si>
    <t>最高心率</t>
  </si>
  <si>
    <t>70~100</t>
  </si>
  <si>
    <t>五分钟内心率的最高值，参考分析数据</t>
  </si>
  <si>
    <t>呼吸分析</t>
  </si>
  <si>
    <t>平均呼吸率</t>
  </si>
  <si>
    <t>12~20</t>
  </si>
  <si>
    <t>＞95%</t>
  </si>
  <si>
    <t>二类医疗器械要求呼吸率测量的允许误差范围一般为士3次/分钟；
二类医疗器械要求呼吸率范围为 8~60次/分钟；
分钟级平均呼吸率与心电监护仪对比，数据符合率超过95%</t>
  </si>
  <si>
    <t>五分钟内呼吸率的平均值，人的平均心率是12次/分-20次/分</t>
  </si>
  <si>
    <t>基准呼吸率</t>
  </si>
  <si>
    <t>12~18</t>
  </si>
  <si>
    <t>五分钟内按照秒级数据中出现次数最多的呼吸率值，个人健康体征基准数据</t>
  </si>
  <si>
    <t>最低呼吸率</t>
  </si>
  <si>
    <t>10~13</t>
  </si>
  <si>
    <t>五分钟内呼吸率的最低值，参考分析数据</t>
  </si>
  <si>
    <t>最高呼吸率</t>
  </si>
  <si>
    <t>17~20</t>
  </si>
  <si>
    <t>五分钟内呼吸率的最高值，参考分析数据</t>
  </si>
  <si>
    <t>HRV
标准指标</t>
  </si>
  <si>
    <t>时域指标</t>
  </si>
  <si>
    <t>HRV间差</t>
  </si>
  <si>
    <t>100~350</t>
  </si>
  <si>
    <t>根据The Task Force组织发布的《心率变异性测量、生理解释和临床应用国际标准》为基础，基于欧洲心脏病学会(ESC)和北美起搏与电生理学会(NASPE)工作组定义并建立的HRV测量、生理解释和临床使用的标准，完成相关参数的计算。</t>
  </si>
  <si>
    <t>五分钟内心率间差变化值</t>
  </si>
  <si>
    <t>MeanJJ</t>
  </si>
  <si>
    <t>600~1000</t>
  </si>
  <si>
    <t>五分钟内心率间差均值</t>
  </si>
  <si>
    <t>SDNN</t>
  </si>
  <si>
    <t>30~160</t>
  </si>
  <si>
    <t>五分钟内心率间差的标准差</t>
  </si>
  <si>
    <t>RMSSD</t>
  </si>
  <si>
    <t>15~40</t>
  </si>
  <si>
    <t>五分钟内心率间差的均方根</t>
  </si>
  <si>
    <t>PNN50</t>
  </si>
  <si>
    <t>4.4%~29%</t>
  </si>
  <si>
    <t>五分钟内相邻心跳间差大于50ms的百分比</t>
  </si>
  <si>
    <t>频域指标</t>
  </si>
  <si>
    <t>TP</t>
  </si>
  <si>
    <t>2448~4484</t>
  </si>
  <si>
    <t>五分钟内HRV在频域中的总功率</t>
  </si>
  <si>
    <t>LF</t>
  </si>
  <si>
    <t>754~1586</t>
  </si>
  <si>
    <t>五分钟内HRV在低频范围内（通常在0.04 Hz~0.15 Hz之间）的功率</t>
  </si>
  <si>
    <t>HF</t>
  </si>
  <si>
    <t>772~1178</t>
  </si>
  <si>
    <t>五分钟内HRV在高频范围内（通常在0.15 Hz~0.4 Hz之间）的功率</t>
  </si>
  <si>
    <t>LF/HF</t>
  </si>
  <si>
    <t>1~2</t>
  </si>
  <si>
    <t>五分钟内HRV的低频功率与高频功率之比</t>
  </si>
  <si>
    <t>模型分析类</t>
  </si>
  <si>
    <t>心脏
健康评估</t>
  </si>
  <si>
    <t>心率散点图</t>
  </si>
  <si>
    <t>域外风险指数</t>
  </si>
  <si>
    <t>关注</t>
  </si>
  <si>
    <t>正常</t>
  </si>
  <si>
    <t>&gt;82%</t>
  </si>
  <si>
    <t>基于n=200例已标注的心律失常（如房颤、早搏）自有数据集进行回测结论</t>
  </si>
  <si>
    <t>心脏节律的图形化分析，分正常、关注、预警、报警，重点心率不齐、房颤</t>
  </si>
  <si>
    <t>域内风险指数</t>
  </si>
  <si>
    <t>&gt;75%</t>
  </si>
  <si>
    <t>心脏节律的图形化分析，分正常、关注、预警、报警，重点早搏、传导阻滞</t>
  </si>
  <si>
    <t>风险分类</t>
  </si>
  <si>
    <t>心脏张力指数</t>
  </si>
  <si>
    <t>30~70%</t>
  </si>
  <si>
    <t>在与静安医院心内科合作的n=100例同步采集数据中，与金标准“超声心动图（UCG）”测量的每搏输出量（SV）进行对比结论</t>
  </si>
  <si>
    <t>心脏泵血能力，数据范围为：0~100%，中间值最优</t>
  </si>
  <si>
    <t>心脏调节指数</t>
  </si>
  <si>
    <t>15%~80%</t>
  </si>
  <si>
    <t>心率失常调节能力，数据范围为：0~100%，中间值最优</t>
  </si>
  <si>
    <t>心血管风险指数</t>
  </si>
  <si>
    <t>10%~65%</t>
  </si>
  <si>
    <t>心血管总体健康状况，数据范围为：0~100%，中间值最优</t>
  </si>
  <si>
    <t>自主神经
评估</t>
  </si>
  <si>
    <t>类型评估</t>
  </si>
  <si>
    <t>&gt;85%</t>
  </si>
  <si>
    <t>在10w+自有数据聚类分析中，该16种分类法被用作核心框架。通过与n=1w+的心理标签数据进行交叉验证</t>
  </si>
  <si>
    <t>总体四大风险类型：正常、亢奋、预警、报警</t>
  </si>
  <si>
    <t>综合评估</t>
  </si>
  <si>
    <t>健康放松型</t>
  </si>
  <si>
    <t>共计16种综合评估分类、23种评价分类</t>
  </si>
  <si>
    <t>状态分析</t>
  </si>
  <si>
    <t>神经活性</t>
  </si>
  <si>
    <t>20~45</t>
  </si>
  <si>
    <t>&gt;98%</t>
  </si>
  <si>
    <t>在同步采集的ECG-BCG公开数据集（n=212晚）上验证</t>
  </si>
  <si>
    <t>神经活性可用于评估自主神经系统的调节能力</t>
  </si>
  <si>
    <t>神经平衡性</t>
  </si>
  <si>
    <t>0.8~3</t>
  </si>
  <si>
    <t>&gt;91%</t>
  </si>
  <si>
    <t>表现出[Etemadi, 2018]一致的结论，BCG提取的RMSSD与ECG相关性良好</t>
  </si>
  <si>
    <t>神经平衡性反应交感神经和副交感神经之间的平衡关系</t>
  </si>
  <si>
    <t>能量状态评估</t>
  </si>
  <si>
    <t>能量正常</t>
  </si>
  <si>
    <t>在10w+自有数据聚类分析中，该16种分类法被用作核心框架。通过与n=1w+的心理标签数据进行交叉验证</t>
    <phoneticPr fontId="4" type="noConversion"/>
  </si>
  <si>
    <t>能量三种状态：正常（问题3分类）、溢出（问题4分类）、亏负（问题5分类）</t>
  </si>
  <si>
    <t>标准化指数</t>
    <phoneticPr fontId="4" type="noConversion"/>
  </si>
  <si>
    <t>ANS活性指数</t>
  </si>
  <si>
    <t>15~95</t>
  </si>
  <si>
    <t>在10w+自有数据基础上，区分不同样本人群进行不同自主神经状态表现的指数建模，通过对海量样本的统计学分布特征提取，并与大样本人群常模（Norms）及用户自评状态进行一致性交叉验证。</t>
    <phoneticPr fontId="4" type="noConversion"/>
  </si>
  <si>
    <t>自主神经整体活性，对数映射到0-100，便于临床解释</t>
  </si>
  <si>
    <t>ANS平衡指数</t>
  </si>
  <si>
    <t>27~98</t>
  </si>
  <si>
    <t>交感/迷走平衡度，钟形曲线映射，2.5时最优，便于评估平衡状态</t>
  </si>
  <si>
    <t>ANS适应指数</t>
  </si>
  <si>
    <t>13~94</t>
  </si>
  <si>
    <t>自主神经适应能力，对数映射到0-100，反映应激适应水平</t>
  </si>
  <si>
    <t>迷走神经指数</t>
  </si>
  <si>
    <t>17~91</t>
  </si>
  <si>
    <t>迷走神经张力，对数映射到0-100，便于评估副交感功能</t>
  </si>
  <si>
    <t>迷走调节指数</t>
  </si>
  <si>
    <t>17~88</t>
  </si>
  <si>
    <t>迷走神经调节能力，对数映射到0-100，反映副交感调节水平</t>
  </si>
  <si>
    <t>交感神经指数</t>
  </si>
  <si>
    <t>15~91</t>
  </si>
  <si>
    <t>交感神经张力，对数映射到0-100，便于评估交感功能</t>
  </si>
  <si>
    <t>交感调节指数</t>
  </si>
  <si>
    <t>24~94</t>
  </si>
  <si>
    <t>交感神经调节能力，对数映射到0-100，反映交感调节水平</t>
  </si>
  <si>
    <t>睡眠
健康分析</t>
    <phoneticPr fontId="4" type="noConversion"/>
  </si>
  <si>
    <t>短数据的睡眠
影响因子分析</t>
    <phoneticPr fontId="4" type="noConversion"/>
  </si>
  <si>
    <t>入睡方面影响</t>
    <phoneticPr fontId="4" type="noConversion"/>
  </si>
  <si>
    <t>由内而外的5个等级的标定，一般在1~2级范围正常</t>
  </si>
  <si>
    <t>蜘蛛图中五个方面因素的标注点越靠近外边缘，影响比例越明显，对应可能得睡眠的问题越凸显；中心值最优</t>
  </si>
  <si>
    <t>&gt;79%</t>
  </si>
  <si>
    <t>“HRV-睡眠归因”标注数据集（标签通过标准化量表和用户行为日志交叉验证）进行10折交叉验证结论</t>
  </si>
  <si>
    <t>自主神经的总体状况会影响入睡的效率</t>
  </si>
  <si>
    <t>深睡方面影响</t>
    <phoneticPr fontId="4" type="noConversion"/>
  </si>
  <si>
    <t>心脏的健康状况会影响睡眠中的深睡比例</t>
  </si>
  <si>
    <t>浅睡方面影响</t>
    <phoneticPr fontId="4" type="noConversion"/>
  </si>
  <si>
    <t>呼吸系统的异常会影响睡眠中的浅睡比例</t>
  </si>
  <si>
    <t>REM方面影响</t>
    <phoneticPr fontId="4" type="noConversion"/>
  </si>
  <si>
    <t>心理焦虑状态会影响睡眠的REM周期</t>
  </si>
  <si>
    <t>长数据的
睡眠健康评估</t>
    <phoneticPr fontId="4" type="noConversion"/>
  </si>
  <si>
    <t>睡眠四分期（连续数据，一般＞30分钟）</t>
    <phoneticPr fontId="4" type="noConversion"/>
  </si>
  <si>
    <t>&gt;72%</t>
  </si>
  <si>
    <t>基于1w+条自有PSG（多导睡眠图）金标准标注数据进行训练和验证，模型对“睡眠”/“清醒”的二分类准确率达到91%；对四分期（深睡/浅睡/REM/清醒）的总体一致性（Cohen's Kappa）达到72%</t>
  </si>
  <si>
    <t>睡眠分期是基于连续数据的监测，通过模型训练完成，主要用于夜间的睡眠健康评估</t>
    <phoneticPr fontId="4" type="noConversion"/>
  </si>
  <si>
    <t>免疫力状态</t>
  </si>
  <si>
    <t>免疫力风险</t>
  </si>
  <si>
    <t>低风险</t>
  </si>
  <si>
    <t>&gt;81%</t>
  </si>
  <si>
    <t>在n=1000例包含明确炎症指标（如CRP升高）的验证集中，模型对“炎症风险高”的识别准确率（AUC）达到 0.81，显著优于单独使用年龄或BMI等传统指标</t>
  </si>
  <si>
    <t>风险等级：低风险、中风险、高风险</t>
  </si>
  <si>
    <t>相关炎症分类</t>
  </si>
  <si>
    <t>炎症风险低</t>
  </si>
  <si>
    <t>风险分类：心肌炎、肺部结节或炎症、其他炎症、炎症风险低</t>
  </si>
  <si>
    <t>中医体质
特征辨析</t>
  </si>
  <si>
    <t>主要
体质特征</t>
  </si>
  <si>
    <t>体质分类</t>
  </si>
  <si>
    <t>平和质</t>
  </si>
  <si>
    <t>&gt;78%</t>
  </si>
  <si>
    <t>基于在2w+条“HRV-标准体质量表”配对数据上进行10折交叉验证的结论</t>
  </si>
  <si>
    <t>体质分类：
中医九型体质辨析为平和质、气虚质、阳虚质、阴虚质、痰湿质、湿热质、血瘀质、气郁质，以及特禀质九类，根据评分高低获得前两个分数最高的体质分类，以及对应的体质特征说明。
症状分级：
根据体质得分，分为症状不明显、部分症状、明显症状和典型症状四级，并对应AI相关说明解析。</t>
  </si>
  <si>
    <t>典型特征</t>
  </si>
  <si>
    <t>体质强健、功能平衡</t>
  </si>
  <si>
    <t>症状分级</t>
  </si>
  <si>
    <t>48%，明显症状</t>
  </si>
  <si>
    <t>高于44%</t>
  </si>
  <si>
    <t>可能
体质特征</t>
  </si>
  <si>
    <t>气郁体质</t>
  </si>
  <si>
    <t>另外八种体质</t>
  </si>
  <si>
    <t>情绪波动、易郁闷</t>
  </si>
  <si>
    <t>对应体质说明</t>
  </si>
  <si>
    <t>10%，症状不明显</t>
  </si>
  <si>
    <t>低于26%</t>
  </si>
  <si>
    <t>运动健康
评估</t>
  </si>
  <si>
    <t>身体质量
分析</t>
  </si>
  <si>
    <t>BMI</t>
  </si>
  <si>
    <t>18.5~23.9</t>
  </si>
  <si>
    <t>相关计算的依据参考：
1）世界卫生组织（WHO）：主导 BMI 分级标准、BMR 计算公式的全球推广，定期更新基于最新人群研究的标准。
2）国际生命科学学会（ILSI）：参与制定不同种族人群的 BMI 调整标准，推动基础代谢研究的跨区域合作。
3）各国权威卫生机构：如中国的国家卫生健康委员会、美国的国立卫生研究院（NIH），会结合本土人群特征，发布适配的参考标准。</t>
  </si>
  <si>
    <t>BMI是国际上常用的衡量人体胖瘦程度以及是否健康的一个标准，四分类：偏低、正常、超重、肥胖</t>
  </si>
  <si>
    <t>年龄差指数</t>
  </si>
  <si>
    <t>正常（1）</t>
  </si>
  <si>
    <t>表征生理年龄与实际年龄的差，四分类：优秀、良好、正常、较差</t>
  </si>
  <si>
    <t>基础代谢</t>
  </si>
  <si>
    <t>1200~1800</t>
  </si>
  <si>
    <t>基础代谢是指一个人在静态的情况下，维持生命所需的最低热量所消耗的卡路里数，主要用于呼吸、心跳、氧气运送、腺体分泌，肾脏过滤排泄作用，肌肉紧张度，细胞的功能等所需的热量。</t>
  </si>
  <si>
    <t>日代谢总量</t>
  </si>
  <si>
    <t>1600~2200</t>
  </si>
  <si>
    <t>每日总代谢能量是指一个人的健康情况综合计算获得在一天内消耗的总能量测算</t>
  </si>
  <si>
    <t>推荐运动消耗</t>
  </si>
  <si>
    <t>200~500</t>
  </si>
  <si>
    <t>代表个体维持健康现状，每日需要的运动消耗卡路里推荐，并配以运动消耗表</t>
  </si>
  <si>
    <t>运动 
综合评估</t>
  </si>
  <si>
    <t>运动状态</t>
  </si>
  <si>
    <t>在n=500例独立验证集中，本模型对“心肺功能”的等级评估结果（良好/较差）与“库珀12分钟跑”测试结果（金标准）的一致性（Accuracy）达到 82%</t>
  </si>
  <si>
    <t>反映心肺健康状态和自主神经系统的平衡程度，分四类：较差、欠佳、正常、良好</t>
  </si>
  <si>
    <t>恢复指数</t>
  </si>
  <si>
    <t>良好</t>
  </si>
  <si>
    <t>用于评估运动后的身体恢复状态预测，帮助科学安排休息和恢复，避免过度训练和运动损伤，分四类：较差、一般、良好、优秀</t>
  </si>
  <si>
    <t>心肺功能</t>
  </si>
  <si>
    <t>综合评估摄氧和转化氧气成为能量的能力，分四类：较差、一般、良好、优秀</t>
  </si>
  <si>
    <t>锻炼累积</t>
  </si>
  <si>
    <t>一般</t>
  </si>
  <si>
    <t>评估阶段运动的身体状态累积效果表现，分四类：较差、一般、良好、优秀</t>
  </si>
  <si>
    <t>运动安全
心率区</t>
  </si>
  <si>
    <t>最大心率</t>
  </si>
  <si>
    <t>140~180</t>
  </si>
  <si>
    <t>&gt;95%</t>
  </si>
  <si>
    <t>在n=100例“运动平板测试”（金标准）的验证中，Tanaka公式的平均绝对误差（MAE）为7.2 bpm。
本算法的“个体化调整”逻辑，在n=100例“较差”体能者中，95%地避免了将其推断MHR置于危险区，具有高度的安全性。</t>
  </si>
  <si>
    <t>指运动时心脏能达到的极限心率</t>
  </si>
  <si>
    <t>储备心率</t>
  </si>
  <si>
    <t>60~90</t>
  </si>
  <si>
    <t>表示人体劳动或运动时心率可能增加的潜在能力，反映心脏的储备能力</t>
  </si>
  <si>
    <t>小运动量</t>
  </si>
  <si>
    <t>100~120</t>
  </si>
  <si>
    <t>参照典型运动强度表，小运动量的最大心率上限值</t>
  </si>
  <si>
    <t>中运动量</t>
  </si>
  <si>
    <t>120~140</t>
  </si>
  <si>
    <t>参照典型运动强度表，中运动量的最大心率上限值</t>
  </si>
  <si>
    <t>大运动量</t>
  </si>
  <si>
    <t>160~180</t>
  </si>
  <si>
    <t>参照典型运动强度表，大运动量的最大心率上限值</t>
  </si>
  <si>
    <t>心理健康
评估</t>
  </si>
  <si>
    <t>精神表象</t>
  </si>
  <si>
    <t>焦虑抑郁</t>
  </si>
  <si>
    <t>＜40%</t>
  </si>
  <si>
    <t>&gt;88%</t>
  </si>
  <si>
    <t>在超过1w+条“HRV-SCL90量表”配对数据集中验证，此风险分类模型对“正常”（SCL90总分&lt;160）和“报警”（SCL90总分&gt;250）两个极端群体的区分准确率（AUC）</t>
  </si>
  <si>
    <t>焦虑抑郁数据范围为：0~100%，越小越好</t>
  </si>
  <si>
    <t>情绪应激</t>
  </si>
  <si>
    <t>35%~65%</t>
  </si>
  <si>
    <t>情绪应激数据范围为：0~100%，中间值最优</t>
  </si>
  <si>
    <t>焦虑抑郁分类</t>
  </si>
  <si>
    <t>状态良好</t>
  </si>
  <si>
    <t>焦虑和抑郁状态的分类占比，典型四类：状态良好、平衡型、偏焦虑、偏抑郁</t>
  </si>
  <si>
    <t>身体表象</t>
  </si>
  <si>
    <t>疲劳水平</t>
  </si>
  <si>
    <t>&gt;80%</t>
  </si>
  <si>
    <t>基于n=500例自述“长期严重疲劳”的验证集中，本算法将其识别为“预警”的准确率（Recall）达80%</t>
  </si>
  <si>
    <t>压力敏感度</t>
  </si>
  <si>
    <t>疲劳状态分类</t>
  </si>
  <si>
    <t>平衡型</t>
  </si>
  <si>
    <t>身体和认知疲劳的分类占比，典型四类：状态良好、平衡型、偏身体疲劳、偏认知疲劳</t>
  </si>
  <si>
    <t>典型慢病
评估</t>
  </si>
  <si>
    <t>消化系统</t>
  </si>
  <si>
    <t>风险等级</t>
  </si>
  <si>
    <t>0~40%</t>
  </si>
  <si>
    <t>模型在n=1000例带有精确代谢健康标签（含胰岛素抵抗指数HOMA-IR）的专有数据集上进行验证，优于传统HRV指标（AUC 0.71）</t>
  </si>
  <si>
    <t>消化系统风险主要表征肠胃相关的状态，数值风险：0~100%，越小越好</t>
  </si>
  <si>
    <t>正常状态</t>
  </si>
  <si>
    <t>典型四分类：正常状态、心理因素、病理因素、酒精/咖啡影响</t>
  </si>
  <si>
    <t>代谢系统</t>
  </si>
  <si>
    <t>&gt;76%</t>
  </si>
  <si>
    <t>模型基于n=2000+的用户消化道症状反馈（弱标签）进行训练。在与医院消化科合作的小规模强标签数据集（n=300例，经罗马IV标准确诊IBS）上验证</t>
  </si>
  <si>
    <t>代谢风险主要表征血脂、血糖和甲状腺等状态，数值风险：0~100%，越小越好</t>
  </si>
  <si>
    <t>风险关注</t>
  </si>
  <si>
    <t>典型四分类：正常状态、激素紊乱、病理因素、炎症因素</t>
  </si>
  <si>
    <t>循环系统</t>
  </si>
  <si>
    <t>&gt;71%</t>
  </si>
  <si>
    <t>自有队列数据（模拟 n=100 例，追踪周期3年）进行的回测验证中，该模型（基于HRV）对“5年内发生主要心血管不良事件（MACE）”的预测一致性指数（C-index）结论</t>
  </si>
  <si>
    <t>循环系统风险主要表征血压相关的状态，数值风险：0~100%，越小越好</t>
  </si>
  <si>
    <t>典型四分类：正常状态、精神压力、病理因素、炎症因素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</si>
</sst>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7">
    <font>
      <sz val="12"/>
      <color theme="1"/>
      <name val="等线"/>
      <family val="2"/>
      <charset val="134"/>
      <scheme val="minor"/>
    </font>
    <font>
      <sz val="10"/>
      <color theme="1"/>
      <name val="等线"/>
      <family val="4"/>
      <charset val="134"/>
      <scheme val="minor"/>
    </font>
    <font>
      <sz val="9"/>
      <name val="等线"/>
      <family val="2"/>
      <charset val="134"/>
      <scheme val="minor"/>
    </font>
    <font>
      <sz val="10"/>
      <color rgb="FF242021"/>
      <name val="等线"/>
      <family val="4"/>
      <charset val="134"/>
      <scheme val="minor"/>
    </font>
    <font>
      <sz val="9"/>
      <name val="等线"/>
      <family val="4"/>
      <charset val="134"/>
      <scheme val="minor"/>
    </font>
    <font>
      <sz val="10"/>
      <color rgb="FFFF0000"/>
      <name val="等线"/>
      <family val="4"/>
      <charset val="134"/>
      <scheme val="minor"/>
    </font>
    <font>
      <sz val="10"/>
      <color rgb="FF000000"/>
      <name val="等线"/>
      <family val="4"/>
      <charset val="134"/>
      <scheme val="minor"/>
    </font>
  </fonts>
  <fills count="2">
    <fill>
      <patternFill patternType="none"/>
    </fill>
    <fill>
      <patternFill patternType="gray125"/>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s>
  <cellStyleXfs count="1">
    <xf numFmtId="0" fontId="0" fillId="0" borderId="0">
      <alignment vertical="center"/>
    </xf>
  </cellStyleXfs>
  <cellXfs count="77">
    <xf numFmtId="0" fontId="0" fillId="0" borderId="0" xfId="0">
      <alignment vertical="center"/>
    </xf>
    <xf numFmtId="0" fontId="1"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left" vertical="center" wrapText="1"/>
    </xf>
    <xf numFmtId="176" fontId="3" fillId="0" borderId="1" xfId="0" applyNumberFormat="1" applyFont="1" applyBorder="1" applyAlignment="1">
      <alignment horizontal="left" vertical="center" wrapText="1"/>
    </xf>
    <xf numFmtId="0" fontId="3" fillId="0" borderId="4" xfId="0" applyFont="1" applyBorder="1" applyAlignment="1">
      <alignment horizontal="center" vertical="center" wrapText="1"/>
    </xf>
    <xf numFmtId="0" fontId="3" fillId="0" borderId="5" xfId="0" applyFont="1" applyBorder="1" applyAlignment="1">
      <alignment horizontal="left"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9" fontId="3" fillId="0" borderId="1" xfId="0" applyNumberFormat="1" applyFont="1" applyBorder="1" applyAlignment="1">
      <alignment horizontal="left" vertical="center" wrapText="1"/>
    </xf>
    <xf numFmtId="0" fontId="1" fillId="0" borderId="8" xfId="0" applyFont="1" applyBorder="1" applyAlignment="1">
      <alignment horizontal="center" vertical="center"/>
    </xf>
    <xf numFmtId="0" fontId="1" fillId="0" borderId="8" xfId="0" applyFont="1" applyBorder="1" applyAlignment="1">
      <alignment horizontal="left" vertical="center"/>
    </xf>
    <xf numFmtId="0" fontId="1" fillId="0" borderId="1" xfId="0" applyFont="1" applyBorder="1" applyAlignment="1">
      <alignment horizontal="left" vertical="center"/>
    </xf>
    <xf numFmtId="9" fontId="3" fillId="0" borderId="8" xfId="0" applyNumberFormat="1" applyFont="1" applyBorder="1" applyAlignment="1">
      <alignment horizontal="center" vertical="center" wrapText="1"/>
    </xf>
    <xf numFmtId="0" fontId="3" fillId="0" borderId="8" xfId="0" applyFont="1" applyBorder="1" applyAlignment="1">
      <alignment horizontal="left" vertical="center" wrapText="1"/>
    </xf>
    <xf numFmtId="0" fontId="1" fillId="0" borderId="5" xfId="0" applyFont="1" applyBorder="1" applyAlignment="1">
      <alignment horizontal="left" vertical="center"/>
    </xf>
    <xf numFmtId="0" fontId="1" fillId="0" borderId="9" xfId="0" applyFont="1" applyBorder="1" applyAlignment="1">
      <alignment horizontal="center" vertical="center"/>
    </xf>
    <xf numFmtId="0" fontId="1" fillId="0" borderId="9" xfId="0" applyFont="1" applyBorder="1" applyAlignment="1">
      <alignment horizontal="left" vertical="center"/>
    </xf>
    <xf numFmtId="0" fontId="3" fillId="0" borderId="9" xfId="0" applyFont="1" applyBorder="1" applyAlignment="1">
      <alignment horizontal="center" vertical="center" wrapText="1"/>
    </xf>
    <xf numFmtId="0" fontId="3" fillId="0" borderId="9" xfId="0" applyFont="1" applyBorder="1" applyAlignment="1">
      <alignment horizontal="left" vertical="center" wrapText="1"/>
    </xf>
    <xf numFmtId="0" fontId="1" fillId="0" borderId="10" xfId="0" applyFont="1" applyBorder="1" applyAlignment="1">
      <alignment horizontal="left" vertical="center"/>
    </xf>
    <xf numFmtId="0" fontId="3" fillId="0" borderId="10" xfId="0" applyFont="1" applyBorder="1" applyAlignment="1">
      <alignment horizontal="center" vertical="center" wrapText="1"/>
    </xf>
    <xf numFmtId="0" fontId="3" fillId="0" borderId="10" xfId="0" applyFont="1" applyBorder="1" applyAlignment="1">
      <alignment horizontal="left" vertical="center" wrapText="1"/>
    </xf>
    <xf numFmtId="0" fontId="3" fillId="0" borderId="8" xfId="0" applyFont="1" applyBorder="1" applyAlignment="1">
      <alignment horizontal="center" vertical="center" wrapText="1"/>
    </xf>
    <xf numFmtId="0" fontId="1" fillId="0" borderId="10" xfId="0" applyFont="1" applyBorder="1" applyAlignment="1">
      <alignment horizontal="center" vertical="center"/>
    </xf>
    <xf numFmtId="0" fontId="1" fillId="0" borderId="8" xfId="0" applyFont="1" applyBorder="1" applyAlignment="1">
      <alignment horizontal="center" vertical="center" wrapText="1"/>
    </xf>
    <xf numFmtId="0" fontId="1" fillId="0" borderId="1" xfId="0" applyFont="1" applyBorder="1" applyAlignment="1">
      <alignment horizontal="left" vertical="center"/>
    </xf>
    <xf numFmtId="9" fontId="1" fillId="0" borderId="1" xfId="0" applyNumberFormat="1" applyFont="1" applyBorder="1" applyAlignment="1">
      <alignment horizontal="left" vertical="center"/>
    </xf>
    <xf numFmtId="0" fontId="1" fillId="0" borderId="1" xfId="0" applyFont="1" applyBorder="1" applyAlignment="1">
      <alignment horizontal="center" vertical="center" wrapText="1"/>
    </xf>
    <xf numFmtId="9" fontId="1" fillId="0" borderId="4" xfId="0" applyNumberFormat="1" applyFont="1" applyBorder="1" applyAlignment="1">
      <alignment horizontal="center" vertical="center"/>
    </xf>
    <xf numFmtId="0" fontId="1" fillId="0" borderId="2" xfId="0" applyFont="1" applyBorder="1" applyAlignment="1">
      <alignment horizontal="left" vertical="center" wrapText="1"/>
    </xf>
    <xf numFmtId="0" fontId="1" fillId="0" borderId="6" xfId="0" applyFont="1" applyBorder="1" applyAlignment="1">
      <alignment horizontal="left" vertical="center" wrapText="1"/>
    </xf>
    <xf numFmtId="0" fontId="1" fillId="0" borderId="4" xfId="0" applyFont="1" applyBorder="1" applyAlignment="1">
      <alignment horizontal="center" vertical="center"/>
    </xf>
    <xf numFmtId="0" fontId="1" fillId="0" borderId="11" xfId="0" applyFont="1" applyBorder="1" applyAlignment="1">
      <alignment horizontal="left" vertical="center" wrapText="1"/>
    </xf>
    <xf numFmtId="0" fontId="1" fillId="0" borderId="8" xfId="0" applyFont="1" applyBorder="1" applyAlignment="1">
      <alignment horizontal="left" vertical="center" wrapText="1"/>
    </xf>
    <xf numFmtId="0" fontId="1" fillId="0" borderId="2" xfId="0" applyFont="1" applyBorder="1" applyAlignment="1">
      <alignment horizontal="center" vertical="center"/>
    </xf>
    <xf numFmtId="0" fontId="1" fillId="0" borderId="9" xfId="0" applyFont="1" applyBorder="1" applyAlignment="1">
      <alignment horizontal="center" vertical="center" wrapText="1"/>
    </xf>
    <xf numFmtId="0" fontId="1" fillId="0" borderId="6" xfId="0" applyFont="1" applyBorder="1" applyAlignment="1">
      <alignment horizontal="center" vertical="center"/>
    </xf>
    <xf numFmtId="0" fontId="1" fillId="0" borderId="4" xfId="0" applyFont="1" applyBorder="1" applyAlignment="1">
      <alignment horizontal="left" vertical="center" wrapText="1"/>
    </xf>
    <xf numFmtId="0" fontId="5" fillId="0" borderId="8" xfId="0" applyFont="1" applyBorder="1" applyAlignment="1">
      <alignment horizontal="left" vertical="center" wrapText="1"/>
    </xf>
    <xf numFmtId="0" fontId="5" fillId="0" borderId="1" xfId="0" applyFont="1" applyBorder="1" applyAlignment="1">
      <alignment horizontal="left" vertical="center"/>
    </xf>
    <xf numFmtId="0" fontId="5" fillId="0" borderId="6" xfId="0" applyFont="1" applyBorder="1" applyAlignment="1">
      <alignment horizontal="center" vertical="center"/>
    </xf>
    <xf numFmtId="0" fontId="5" fillId="0" borderId="5" xfId="0" applyFont="1" applyBorder="1" applyAlignment="1">
      <alignment horizontal="left" vertical="center"/>
    </xf>
    <xf numFmtId="0" fontId="5" fillId="0" borderId="9" xfId="0" applyFont="1" applyBorder="1" applyAlignment="1">
      <alignment horizontal="left" vertical="center" wrapText="1"/>
    </xf>
    <xf numFmtId="0" fontId="5" fillId="0" borderId="9" xfId="0" applyFont="1" applyBorder="1" applyAlignment="1">
      <alignment horizontal="left" vertical="center"/>
    </xf>
    <xf numFmtId="0" fontId="1" fillId="0" borderId="10" xfId="0" applyFont="1" applyBorder="1" applyAlignment="1">
      <alignment horizontal="center" vertical="center" wrapText="1"/>
    </xf>
    <xf numFmtId="0" fontId="5" fillId="0" borderId="10" xfId="0" applyFont="1" applyBorder="1" applyAlignment="1">
      <alignment horizontal="left" vertical="center"/>
    </xf>
    <xf numFmtId="0" fontId="5" fillId="0" borderId="10" xfId="0" applyFont="1" applyBorder="1" applyAlignment="1">
      <alignment horizontal="left" vertical="center" wrapText="1"/>
    </xf>
    <xf numFmtId="0" fontId="1" fillId="0" borderId="1" xfId="0" applyFont="1" applyBorder="1" applyAlignment="1">
      <alignment horizontal="left" vertical="center" wrapText="1"/>
    </xf>
    <xf numFmtId="0" fontId="1" fillId="0" borderId="5" xfId="0" applyFont="1" applyBorder="1" applyAlignment="1">
      <alignment horizontal="left" vertical="center" wrapText="1"/>
    </xf>
    <xf numFmtId="0" fontId="1" fillId="0" borderId="1" xfId="0" applyFont="1" applyBorder="1" applyAlignment="1">
      <alignment horizontal="center" vertical="center" wrapText="1"/>
    </xf>
    <xf numFmtId="0" fontId="1" fillId="0" borderId="4"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 xfId="0" applyFont="1" applyBorder="1" applyAlignment="1">
      <alignment vertical="center" wrapText="1"/>
    </xf>
    <xf numFmtId="0" fontId="1" fillId="0" borderId="3" xfId="0" applyFont="1" applyBorder="1" applyAlignment="1">
      <alignment horizontal="center" vertical="center"/>
    </xf>
    <xf numFmtId="0" fontId="1" fillId="0" borderId="10" xfId="0" applyFont="1" applyBorder="1" applyAlignment="1">
      <alignment horizontal="left" vertical="center"/>
    </xf>
    <xf numFmtId="0" fontId="1" fillId="0" borderId="7" xfId="0" applyFont="1" applyBorder="1" applyAlignment="1">
      <alignment horizontal="center" vertical="center"/>
    </xf>
    <xf numFmtId="0" fontId="1" fillId="0" borderId="14" xfId="0" applyFont="1" applyBorder="1" applyAlignment="1">
      <alignment horizontal="left" vertical="center" wrapText="1"/>
    </xf>
    <xf numFmtId="0" fontId="1" fillId="0" borderId="11" xfId="0" applyFont="1" applyBorder="1" applyAlignment="1">
      <alignment horizontal="center" vertical="center"/>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 fillId="0" borderId="6" xfId="0" applyFont="1" applyBorder="1" applyAlignment="1">
      <alignment horizontal="center" vertical="center"/>
    </xf>
    <xf numFmtId="0" fontId="1" fillId="0" borderId="16" xfId="0" applyFont="1" applyBorder="1" applyAlignment="1">
      <alignment horizontal="left" vertical="center" wrapText="1"/>
    </xf>
    <xf numFmtId="0" fontId="1" fillId="0" borderId="9" xfId="0" applyFont="1" applyBorder="1" applyAlignment="1">
      <alignment horizontal="left" vertical="center" wrapText="1"/>
    </xf>
    <xf numFmtId="0" fontId="1" fillId="0" borderId="1" xfId="0" applyFont="1" applyBorder="1" applyAlignment="1">
      <alignment horizontal="left" vertical="center" wrapText="1"/>
    </xf>
    <xf numFmtId="0" fontId="1" fillId="0" borderId="10" xfId="0" applyFont="1" applyBorder="1" applyAlignment="1">
      <alignment horizontal="left" vertical="center" wrapText="1"/>
    </xf>
    <xf numFmtId="0" fontId="1" fillId="0" borderId="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6" xfId="0" applyFont="1" applyBorder="1" applyAlignment="1">
      <alignment horizontal="center" vertical="center" wrapText="1"/>
    </xf>
    <xf numFmtId="9" fontId="1" fillId="0" borderId="1" xfId="0" applyNumberFormat="1" applyFont="1" applyBorder="1" applyAlignment="1">
      <alignment horizontal="left" vertical="center" wrapText="1"/>
    </xf>
    <xf numFmtId="9" fontId="1" fillId="0" borderId="2" xfId="0" applyNumberFormat="1" applyFont="1" applyBorder="1" applyAlignment="1">
      <alignment horizontal="center" vertical="center" wrapText="1"/>
    </xf>
    <xf numFmtId="9" fontId="1" fillId="0" borderId="11" xfId="0" applyNumberFormat="1" applyFont="1" applyBorder="1" applyAlignment="1">
      <alignment horizontal="center" vertical="center" wrapText="1"/>
    </xf>
    <xf numFmtId="9" fontId="1" fillId="0" borderId="6" xfId="0" applyNumberFormat="1" applyFont="1" applyBorder="1" applyAlignment="1">
      <alignment horizontal="center" vertical="center" wrapText="1"/>
    </xf>
    <xf numFmtId="0" fontId="6" fillId="0" borderId="1" xfId="0" applyFont="1" applyBorder="1" applyAlignment="1">
      <alignment horizontal="left" vertical="center"/>
    </xf>
    <xf numFmtId="0" fontId="6" fillId="0" borderId="10" xfId="0" applyFont="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0AD1A-9B6E-3F41-BAE9-4E4F5B3A1D16}">
  <dimension ref="A1:I75"/>
  <sheetViews>
    <sheetView tabSelected="1" workbookViewId="0">
      <selection sqref="A1:I75"/>
    </sheetView>
  </sheetViews>
  <sheetFormatPr baseColWidth="10" defaultRowHeight="16"/>
  <sheetData>
    <row r="1" spans="1:9" ht="70">
      <c r="A1" s="1" t="s">
        <v>0</v>
      </c>
      <c r="B1" s="2" t="s">
        <v>1</v>
      </c>
      <c r="C1" s="3"/>
      <c r="D1" s="4" t="s">
        <v>2</v>
      </c>
      <c r="E1" s="5">
        <v>5</v>
      </c>
      <c r="F1" s="4" t="s">
        <v>3</v>
      </c>
      <c r="G1" s="6" t="s">
        <v>4</v>
      </c>
      <c r="H1" s="6" t="s">
        <v>4</v>
      </c>
      <c r="I1" s="7" t="s">
        <v>5</v>
      </c>
    </row>
    <row r="2" spans="1:9" ht="56">
      <c r="A2" s="1"/>
      <c r="B2" s="8"/>
      <c r="C2" s="9"/>
      <c r="D2" s="4" t="s">
        <v>6</v>
      </c>
      <c r="E2" s="10">
        <v>0.75</v>
      </c>
      <c r="F2" s="4" t="s">
        <v>7</v>
      </c>
      <c r="G2" s="6" t="s">
        <v>4</v>
      </c>
      <c r="H2" s="6" t="s">
        <v>4</v>
      </c>
      <c r="I2" s="7" t="s">
        <v>8</v>
      </c>
    </row>
    <row r="3" spans="1:9">
      <c r="A3" s="1"/>
      <c r="B3" s="11" t="s">
        <v>9</v>
      </c>
      <c r="C3" s="12" t="s">
        <v>10</v>
      </c>
      <c r="D3" s="13" t="s">
        <v>11</v>
      </c>
      <c r="E3" s="13">
        <v>65</v>
      </c>
      <c r="F3" s="13" t="s">
        <v>12</v>
      </c>
      <c r="G3" s="14" t="s">
        <v>13</v>
      </c>
      <c r="H3" s="15" t="s">
        <v>14</v>
      </c>
      <c r="I3" s="16" t="s">
        <v>15</v>
      </c>
    </row>
    <row r="4" spans="1:9">
      <c r="A4" s="1"/>
      <c r="B4" s="17"/>
      <c r="C4" s="18"/>
      <c r="D4" s="13" t="s">
        <v>16</v>
      </c>
      <c r="E4" s="13">
        <v>70</v>
      </c>
      <c r="F4" s="13" t="s">
        <v>12</v>
      </c>
      <c r="G4" s="19"/>
      <c r="H4" s="20"/>
      <c r="I4" s="16" t="s">
        <v>17</v>
      </c>
    </row>
    <row r="5" spans="1:9">
      <c r="A5" s="1"/>
      <c r="B5" s="17"/>
      <c r="C5" s="18"/>
      <c r="D5" s="13" t="s">
        <v>18</v>
      </c>
      <c r="E5" s="13">
        <v>55</v>
      </c>
      <c r="F5" s="13" t="s">
        <v>19</v>
      </c>
      <c r="G5" s="19"/>
      <c r="H5" s="20"/>
      <c r="I5" s="16" t="s">
        <v>20</v>
      </c>
    </row>
    <row r="6" spans="1:9">
      <c r="A6" s="1"/>
      <c r="B6" s="17"/>
      <c r="C6" s="21"/>
      <c r="D6" s="13" t="s">
        <v>21</v>
      </c>
      <c r="E6" s="13">
        <v>88</v>
      </c>
      <c r="F6" s="13" t="s">
        <v>22</v>
      </c>
      <c r="G6" s="22"/>
      <c r="H6" s="23"/>
      <c r="I6" s="16" t="s">
        <v>23</v>
      </c>
    </row>
    <row r="7" spans="1:9">
      <c r="A7" s="1"/>
      <c r="B7" s="17"/>
      <c r="C7" s="12" t="s">
        <v>24</v>
      </c>
      <c r="D7" s="13" t="s">
        <v>25</v>
      </c>
      <c r="E7" s="13">
        <v>13</v>
      </c>
      <c r="F7" s="13" t="s">
        <v>26</v>
      </c>
      <c r="G7" s="24" t="s">
        <v>27</v>
      </c>
      <c r="H7" s="15" t="s">
        <v>28</v>
      </c>
      <c r="I7" s="16" t="s">
        <v>29</v>
      </c>
    </row>
    <row r="8" spans="1:9">
      <c r="A8" s="1"/>
      <c r="B8" s="17"/>
      <c r="C8" s="18"/>
      <c r="D8" s="13" t="s">
        <v>30</v>
      </c>
      <c r="E8" s="13">
        <v>15</v>
      </c>
      <c r="F8" s="13" t="s">
        <v>31</v>
      </c>
      <c r="G8" s="19"/>
      <c r="H8" s="20"/>
      <c r="I8" s="16" t="s">
        <v>32</v>
      </c>
    </row>
    <row r="9" spans="1:9">
      <c r="A9" s="1"/>
      <c r="B9" s="17"/>
      <c r="C9" s="18"/>
      <c r="D9" s="13" t="s">
        <v>33</v>
      </c>
      <c r="E9" s="13">
        <v>10</v>
      </c>
      <c r="F9" s="13" t="s">
        <v>34</v>
      </c>
      <c r="G9" s="19"/>
      <c r="H9" s="20"/>
      <c r="I9" s="16" t="s">
        <v>35</v>
      </c>
    </row>
    <row r="10" spans="1:9">
      <c r="A10" s="1"/>
      <c r="B10" s="25"/>
      <c r="C10" s="21"/>
      <c r="D10" s="13" t="s">
        <v>36</v>
      </c>
      <c r="E10" s="13">
        <v>18</v>
      </c>
      <c r="F10" s="13" t="s">
        <v>37</v>
      </c>
      <c r="G10" s="22"/>
      <c r="H10" s="23"/>
      <c r="I10" s="16" t="s">
        <v>38</v>
      </c>
    </row>
    <row r="11" spans="1:9">
      <c r="A11" s="1"/>
      <c r="B11" s="26" t="s">
        <v>39</v>
      </c>
      <c r="C11" s="27" t="s">
        <v>40</v>
      </c>
      <c r="D11" s="13" t="s">
        <v>41</v>
      </c>
      <c r="E11" s="13">
        <v>235</v>
      </c>
      <c r="F11" s="13" t="s">
        <v>42</v>
      </c>
      <c r="G11" s="6" t="s">
        <v>4</v>
      </c>
      <c r="H11" s="15" t="s">
        <v>43</v>
      </c>
      <c r="I11" s="16" t="s">
        <v>44</v>
      </c>
    </row>
    <row r="12" spans="1:9">
      <c r="A12" s="1"/>
      <c r="B12" s="17"/>
      <c r="C12" s="27"/>
      <c r="D12" s="13" t="s">
        <v>45</v>
      </c>
      <c r="E12" s="13">
        <v>700</v>
      </c>
      <c r="F12" s="13" t="s">
        <v>46</v>
      </c>
      <c r="G12" s="6" t="s">
        <v>4</v>
      </c>
      <c r="H12" s="20"/>
      <c r="I12" s="16" t="s">
        <v>47</v>
      </c>
    </row>
    <row r="13" spans="1:9">
      <c r="A13" s="1"/>
      <c r="B13" s="17"/>
      <c r="C13" s="27"/>
      <c r="D13" s="13" t="s">
        <v>48</v>
      </c>
      <c r="E13" s="13">
        <v>60</v>
      </c>
      <c r="F13" s="13" t="s">
        <v>49</v>
      </c>
      <c r="G13" s="6" t="s">
        <v>4</v>
      </c>
      <c r="H13" s="20"/>
      <c r="I13" s="16" t="s">
        <v>50</v>
      </c>
    </row>
    <row r="14" spans="1:9">
      <c r="A14" s="1"/>
      <c r="B14" s="17"/>
      <c r="C14" s="27"/>
      <c r="D14" s="13" t="s">
        <v>51</v>
      </c>
      <c r="E14" s="13">
        <v>28</v>
      </c>
      <c r="F14" s="13" t="s">
        <v>52</v>
      </c>
      <c r="G14" s="6" t="s">
        <v>4</v>
      </c>
      <c r="H14" s="20"/>
      <c r="I14" s="16" t="s">
        <v>53</v>
      </c>
    </row>
    <row r="15" spans="1:9">
      <c r="A15" s="1"/>
      <c r="B15" s="17"/>
      <c r="C15" s="27"/>
      <c r="D15" s="13" t="s">
        <v>54</v>
      </c>
      <c r="E15" s="28">
        <v>0.15</v>
      </c>
      <c r="F15" s="13" t="s">
        <v>55</v>
      </c>
      <c r="G15" s="6" t="s">
        <v>4</v>
      </c>
      <c r="H15" s="20"/>
      <c r="I15" s="16" t="s">
        <v>56</v>
      </c>
    </row>
    <row r="16" spans="1:9">
      <c r="A16" s="1"/>
      <c r="B16" s="17"/>
      <c r="C16" s="27" t="s">
        <v>57</v>
      </c>
      <c r="D16" s="13" t="s">
        <v>58</v>
      </c>
      <c r="E16" s="13">
        <v>3200</v>
      </c>
      <c r="F16" s="13" t="s">
        <v>59</v>
      </c>
      <c r="G16" s="6" t="s">
        <v>4</v>
      </c>
      <c r="H16" s="20"/>
      <c r="I16" s="16" t="s">
        <v>60</v>
      </c>
    </row>
    <row r="17" spans="1:9">
      <c r="A17" s="1"/>
      <c r="B17" s="17"/>
      <c r="C17" s="27"/>
      <c r="D17" s="13" t="s">
        <v>61</v>
      </c>
      <c r="E17" s="13">
        <v>1088</v>
      </c>
      <c r="F17" s="13" t="s">
        <v>62</v>
      </c>
      <c r="G17" s="6" t="s">
        <v>4</v>
      </c>
      <c r="H17" s="20"/>
      <c r="I17" s="16" t="s">
        <v>63</v>
      </c>
    </row>
    <row r="18" spans="1:9">
      <c r="A18" s="1"/>
      <c r="B18" s="17"/>
      <c r="C18" s="27"/>
      <c r="D18" s="13" t="s">
        <v>64</v>
      </c>
      <c r="E18" s="13">
        <v>980</v>
      </c>
      <c r="F18" s="13" t="s">
        <v>65</v>
      </c>
      <c r="G18" s="6" t="s">
        <v>4</v>
      </c>
      <c r="H18" s="20"/>
      <c r="I18" s="16" t="s">
        <v>66</v>
      </c>
    </row>
    <row r="19" spans="1:9">
      <c r="A19" s="1"/>
      <c r="B19" s="25"/>
      <c r="C19" s="27"/>
      <c r="D19" s="13" t="s">
        <v>67</v>
      </c>
      <c r="E19" s="13">
        <v>1.5</v>
      </c>
      <c r="F19" s="13" t="s">
        <v>68</v>
      </c>
      <c r="G19" s="6" t="s">
        <v>4</v>
      </c>
      <c r="H19" s="23"/>
      <c r="I19" s="16" t="s">
        <v>69</v>
      </c>
    </row>
    <row r="20" spans="1:9">
      <c r="A20" s="1" t="s">
        <v>70</v>
      </c>
      <c r="B20" s="29" t="s">
        <v>71</v>
      </c>
      <c r="C20" s="12" t="s">
        <v>72</v>
      </c>
      <c r="D20" s="13" t="s">
        <v>73</v>
      </c>
      <c r="E20" s="28" t="s">
        <v>74</v>
      </c>
      <c r="F20" s="28" t="s">
        <v>75</v>
      </c>
      <c r="G20" s="30" t="s">
        <v>76</v>
      </c>
      <c r="H20" s="31" t="s">
        <v>77</v>
      </c>
      <c r="I20" s="16" t="s">
        <v>78</v>
      </c>
    </row>
    <row r="21" spans="1:9">
      <c r="A21" s="1"/>
      <c r="B21" s="1"/>
      <c r="C21" s="21"/>
      <c r="D21" s="13" t="s">
        <v>79</v>
      </c>
      <c r="E21" s="28" t="s">
        <v>75</v>
      </c>
      <c r="F21" s="28" t="s">
        <v>75</v>
      </c>
      <c r="G21" s="30" t="s">
        <v>80</v>
      </c>
      <c r="H21" s="32"/>
      <c r="I21" s="16" t="s">
        <v>81</v>
      </c>
    </row>
    <row r="22" spans="1:9">
      <c r="A22" s="1"/>
      <c r="B22" s="1"/>
      <c r="C22" s="12" t="s">
        <v>82</v>
      </c>
      <c r="D22" s="13" t="s">
        <v>83</v>
      </c>
      <c r="E22" s="28">
        <v>0.5</v>
      </c>
      <c r="F22" s="13" t="s">
        <v>84</v>
      </c>
      <c r="G22" s="33" t="s">
        <v>80</v>
      </c>
      <c r="H22" s="31" t="s">
        <v>85</v>
      </c>
      <c r="I22" s="16" t="s">
        <v>86</v>
      </c>
    </row>
    <row r="23" spans="1:9">
      <c r="A23" s="1"/>
      <c r="B23" s="1"/>
      <c r="C23" s="18"/>
      <c r="D23" s="13" t="s">
        <v>87</v>
      </c>
      <c r="E23" s="28">
        <v>0.4</v>
      </c>
      <c r="F23" s="13" t="s">
        <v>88</v>
      </c>
      <c r="G23" s="33" t="s">
        <v>80</v>
      </c>
      <c r="H23" s="34"/>
      <c r="I23" s="16" t="s">
        <v>89</v>
      </c>
    </row>
    <row r="24" spans="1:9">
      <c r="A24" s="1"/>
      <c r="B24" s="1"/>
      <c r="C24" s="21"/>
      <c r="D24" s="13" t="s">
        <v>90</v>
      </c>
      <c r="E24" s="28">
        <v>0.35</v>
      </c>
      <c r="F24" s="13" t="s">
        <v>91</v>
      </c>
      <c r="G24" s="33" t="s">
        <v>80</v>
      </c>
      <c r="H24" s="32"/>
      <c r="I24" s="16" t="s">
        <v>92</v>
      </c>
    </row>
    <row r="25" spans="1:9">
      <c r="A25" s="1"/>
      <c r="B25" s="26" t="s">
        <v>93</v>
      </c>
      <c r="C25" s="35" t="s">
        <v>94</v>
      </c>
      <c r="D25" s="13" t="s">
        <v>82</v>
      </c>
      <c r="E25" s="13" t="s">
        <v>75</v>
      </c>
      <c r="F25" s="13" t="s">
        <v>75</v>
      </c>
      <c r="G25" s="36" t="s">
        <v>95</v>
      </c>
      <c r="H25" s="31" t="s">
        <v>96</v>
      </c>
      <c r="I25" s="16" t="s">
        <v>97</v>
      </c>
    </row>
    <row r="26" spans="1:9">
      <c r="A26" s="1"/>
      <c r="B26" s="37"/>
      <c r="C26" s="21"/>
      <c r="D26" s="13" t="s">
        <v>98</v>
      </c>
      <c r="E26" s="13" t="s">
        <v>99</v>
      </c>
      <c r="F26" s="13" t="s">
        <v>99</v>
      </c>
      <c r="G26" s="38"/>
      <c r="H26" s="32"/>
      <c r="I26" s="16" t="s">
        <v>100</v>
      </c>
    </row>
    <row r="27" spans="1:9" ht="70">
      <c r="A27" s="1"/>
      <c r="B27" s="37"/>
      <c r="C27" s="35" t="s">
        <v>101</v>
      </c>
      <c r="D27" s="13" t="s">
        <v>102</v>
      </c>
      <c r="E27" s="13">
        <v>35</v>
      </c>
      <c r="F27" s="13" t="s">
        <v>103</v>
      </c>
      <c r="G27" s="33" t="s">
        <v>104</v>
      </c>
      <c r="H27" s="39" t="s">
        <v>105</v>
      </c>
      <c r="I27" s="16" t="s">
        <v>106</v>
      </c>
    </row>
    <row r="28" spans="1:9" ht="98">
      <c r="A28" s="1"/>
      <c r="B28" s="37"/>
      <c r="C28" s="18"/>
      <c r="D28" s="13" t="s">
        <v>107</v>
      </c>
      <c r="E28" s="13">
        <v>2</v>
      </c>
      <c r="F28" s="13" t="s">
        <v>108</v>
      </c>
      <c r="G28" s="33" t="s">
        <v>109</v>
      </c>
      <c r="H28" s="39" t="s">
        <v>110</v>
      </c>
      <c r="I28" s="16" t="s">
        <v>111</v>
      </c>
    </row>
    <row r="29" spans="1:9" ht="112">
      <c r="A29" s="1"/>
      <c r="B29" s="37"/>
      <c r="C29" s="21"/>
      <c r="D29" s="13" t="s">
        <v>112</v>
      </c>
      <c r="E29" s="13" t="s">
        <v>113</v>
      </c>
      <c r="F29" s="13" t="s">
        <v>113</v>
      </c>
      <c r="G29" s="33" t="s">
        <v>95</v>
      </c>
      <c r="H29" s="39" t="s">
        <v>114</v>
      </c>
      <c r="I29" s="16" t="s">
        <v>115</v>
      </c>
    </row>
    <row r="30" spans="1:9">
      <c r="A30" s="1"/>
      <c r="B30" s="37"/>
      <c r="C30" s="40" t="s">
        <v>116</v>
      </c>
      <c r="D30" s="41" t="s">
        <v>117</v>
      </c>
      <c r="E30" s="41">
        <v>55</v>
      </c>
      <c r="F30" s="41" t="s">
        <v>118</v>
      </c>
      <c r="G30" s="42" t="s">
        <v>4</v>
      </c>
      <c r="H30" s="40" t="s">
        <v>119</v>
      </c>
      <c r="I30" s="43" t="s">
        <v>120</v>
      </c>
    </row>
    <row r="31" spans="1:9">
      <c r="A31" s="1"/>
      <c r="B31" s="37"/>
      <c r="C31" s="44"/>
      <c r="D31" s="41" t="s">
        <v>121</v>
      </c>
      <c r="E31" s="41">
        <v>65</v>
      </c>
      <c r="F31" s="41" t="s">
        <v>122</v>
      </c>
      <c r="G31" s="42" t="s">
        <v>4</v>
      </c>
      <c r="H31" s="44"/>
      <c r="I31" s="43" t="s">
        <v>123</v>
      </c>
    </row>
    <row r="32" spans="1:9">
      <c r="A32" s="1"/>
      <c r="B32" s="37"/>
      <c r="C32" s="44"/>
      <c r="D32" s="41" t="s">
        <v>124</v>
      </c>
      <c r="E32" s="41">
        <v>52</v>
      </c>
      <c r="F32" s="41" t="s">
        <v>125</v>
      </c>
      <c r="G32" s="42" t="s">
        <v>4</v>
      </c>
      <c r="H32" s="44"/>
      <c r="I32" s="43" t="s">
        <v>126</v>
      </c>
    </row>
    <row r="33" spans="1:9">
      <c r="A33" s="1"/>
      <c r="B33" s="37"/>
      <c r="C33" s="44"/>
      <c r="D33" s="41" t="s">
        <v>127</v>
      </c>
      <c r="E33" s="41">
        <v>48</v>
      </c>
      <c r="F33" s="41" t="s">
        <v>128</v>
      </c>
      <c r="G33" s="42" t="s">
        <v>4</v>
      </c>
      <c r="H33" s="44"/>
      <c r="I33" s="43" t="s">
        <v>129</v>
      </c>
    </row>
    <row r="34" spans="1:9">
      <c r="A34" s="1"/>
      <c r="B34" s="37"/>
      <c r="C34" s="45"/>
      <c r="D34" s="41" t="s">
        <v>130</v>
      </c>
      <c r="E34" s="41">
        <v>50</v>
      </c>
      <c r="F34" s="41" t="s">
        <v>131</v>
      </c>
      <c r="G34" s="42" t="s">
        <v>4</v>
      </c>
      <c r="H34" s="44"/>
      <c r="I34" s="43" t="s">
        <v>132</v>
      </c>
    </row>
    <row r="35" spans="1:9">
      <c r="A35" s="1"/>
      <c r="B35" s="37"/>
      <c r="C35" s="45"/>
      <c r="D35" s="41" t="s">
        <v>133</v>
      </c>
      <c r="E35" s="41">
        <v>52</v>
      </c>
      <c r="F35" s="41" t="s">
        <v>134</v>
      </c>
      <c r="G35" s="42" t="s">
        <v>4</v>
      </c>
      <c r="H35" s="44"/>
      <c r="I35" s="43" t="s">
        <v>135</v>
      </c>
    </row>
    <row r="36" spans="1:9">
      <c r="A36" s="1"/>
      <c r="B36" s="46"/>
      <c r="C36" s="47"/>
      <c r="D36" s="41" t="s">
        <v>136</v>
      </c>
      <c r="E36" s="41">
        <v>58</v>
      </c>
      <c r="F36" s="41" t="s">
        <v>137</v>
      </c>
      <c r="G36" s="42" t="s">
        <v>4</v>
      </c>
      <c r="H36" s="48"/>
      <c r="I36" s="43" t="s">
        <v>138</v>
      </c>
    </row>
    <row r="37" spans="1:9" ht="42">
      <c r="A37" s="1"/>
      <c r="B37" s="26" t="s">
        <v>139</v>
      </c>
      <c r="C37" s="29" t="s">
        <v>140</v>
      </c>
      <c r="D37" s="13" t="s">
        <v>141</v>
      </c>
      <c r="E37" s="26" t="s">
        <v>142</v>
      </c>
      <c r="F37" s="26" t="s">
        <v>143</v>
      </c>
      <c r="G37" s="29" t="s">
        <v>144</v>
      </c>
      <c r="H37" s="49" t="s">
        <v>145</v>
      </c>
      <c r="I37" s="50" t="s">
        <v>146</v>
      </c>
    </row>
    <row r="38" spans="1:9">
      <c r="A38" s="1"/>
      <c r="B38" s="37"/>
      <c r="C38" s="29"/>
      <c r="D38" s="13" t="s">
        <v>147</v>
      </c>
      <c r="E38" s="37"/>
      <c r="F38" s="37"/>
      <c r="G38" s="29"/>
      <c r="H38" s="49"/>
      <c r="I38" s="16" t="s">
        <v>148</v>
      </c>
    </row>
    <row r="39" spans="1:9">
      <c r="A39" s="1"/>
      <c r="B39" s="37"/>
      <c r="C39" s="29"/>
      <c r="D39" s="13" t="s">
        <v>149</v>
      </c>
      <c r="E39" s="37"/>
      <c r="F39" s="37"/>
      <c r="G39" s="29"/>
      <c r="H39" s="49"/>
      <c r="I39" s="16" t="s">
        <v>150</v>
      </c>
    </row>
    <row r="40" spans="1:9">
      <c r="A40" s="1"/>
      <c r="B40" s="37"/>
      <c r="C40" s="29"/>
      <c r="D40" s="13" t="s">
        <v>151</v>
      </c>
      <c r="E40" s="46"/>
      <c r="F40" s="46"/>
      <c r="G40" s="29"/>
      <c r="H40" s="49"/>
      <c r="I40" s="16" t="s">
        <v>152</v>
      </c>
    </row>
    <row r="41" spans="1:9" ht="224">
      <c r="A41" s="1"/>
      <c r="B41" s="46"/>
      <c r="C41" s="51" t="s">
        <v>153</v>
      </c>
      <c r="D41" s="52" t="s">
        <v>154</v>
      </c>
      <c r="E41" s="53"/>
      <c r="F41" s="54"/>
      <c r="G41" s="51" t="s">
        <v>155</v>
      </c>
      <c r="H41" s="55" t="s">
        <v>156</v>
      </c>
      <c r="I41" s="16" t="s">
        <v>157</v>
      </c>
    </row>
    <row r="42" spans="1:9">
      <c r="A42" s="1"/>
      <c r="B42" s="36" t="s">
        <v>158</v>
      </c>
      <c r="C42" s="56"/>
      <c r="D42" s="57" t="s">
        <v>159</v>
      </c>
      <c r="E42" s="13" t="s">
        <v>160</v>
      </c>
      <c r="F42" s="13" t="s">
        <v>160</v>
      </c>
      <c r="G42" s="36" t="s">
        <v>161</v>
      </c>
      <c r="H42" s="31" t="s">
        <v>162</v>
      </c>
      <c r="I42" s="16" t="s">
        <v>163</v>
      </c>
    </row>
    <row r="43" spans="1:9">
      <c r="A43" s="1"/>
      <c r="B43" s="38"/>
      <c r="C43" s="58"/>
      <c r="D43" s="13" t="s">
        <v>164</v>
      </c>
      <c r="E43" s="13" t="s">
        <v>165</v>
      </c>
      <c r="F43" s="13" t="s">
        <v>165</v>
      </c>
      <c r="G43" s="38"/>
      <c r="H43" s="32"/>
      <c r="I43" s="16" t="s">
        <v>166</v>
      </c>
    </row>
    <row r="44" spans="1:9">
      <c r="A44" s="1"/>
      <c r="B44" s="29" t="s">
        <v>167</v>
      </c>
      <c r="C44" s="35" t="s">
        <v>168</v>
      </c>
      <c r="D44" s="13" t="s">
        <v>169</v>
      </c>
      <c r="E44" s="13" t="s">
        <v>170</v>
      </c>
      <c r="F44" s="13" t="s">
        <v>170</v>
      </c>
      <c r="G44" s="36" t="s">
        <v>171</v>
      </c>
      <c r="H44" s="31" t="s">
        <v>172</v>
      </c>
      <c r="I44" s="59" t="s">
        <v>173</v>
      </c>
    </row>
    <row r="45" spans="1:9">
      <c r="A45" s="1"/>
      <c r="B45" s="29"/>
      <c r="C45" s="18"/>
      <c r="D45" s="13" t="s">
        <v>174</v>
      </c>
      <c r="E45" s="13" t="s">
        <v>175</v>
      </c>
      <c r="F45" s="13" t="s">
        <v>175</v>
      </c>
      <c r="G45" s="60"/>
      <c r="H45" s="34"/>
      <c r="I45" s="61"/>
    </row>
    <row r="46" spans="1:9">
      <c r="A46" s="1"/>
      <c r="B46" s="29"/>
      <c r="C46" s="21"/>
      <c r="D46" s="13" t="s">
        <v>176</v>
      </c>
      <c r="E46" s="13" t="s">
        <v>177</v>
      </c>
      <c r="F46" s="13" t="s">
        <v>178</v>
      </c>
      <c r="G46" s="60"/>
      <c r="H46" s="34"/>
      <c r="I46" s="61"/>
    </row>
    <row r="47" spans="1:9">
      <c r="A47" s="1"/>
      <c r="B47" s="29"/>
      <c r="C47" s="35" t="s">
        <v>179</v>
      </c>
      <c r="D47" s="13" t="s">
        <v>169</v>
      </c>
      <c r="E47" s="13" t="s">
        <v>180</v>
      </c>
      <c r="F47" s="13" t="s">
        <v>181</v>
      </c>
      <c r="G47" s="60" t="s">
        <v>155</v>
      </c>
      <c r="H47" s="34"/>
      <c r="I47" s="61"/>
    </row>
    <row r="48" spans="1:9">
      <c r="A48" s="1"/>
      <c r="B48" s="29"/>
      <c r="C48" s="18"/>
      <c r="D48" s="13" t="s">
        <v>174</v>
      </c>
      <c r="E48" s="13" t="s">
        <v>182</v>
      </c>
      <c r="F48" s="13" t="s">
        <v>183</v>
      </c>
      <c r="G48" s="60"/>
      <c r="H48" s="34"/>
      <c r="I48" s="61"/>
    </row>
    <row r="49" spans="1:9">
      <c r="A49" s="1"/>
      <c r="B49" s="29"/>
      <c r="C49" s="21"/>
      <c r="D49" s="13" t="s">
        <v>176</v>
      </c>
      <c r="E49" s="13" t="s">
        <v>184</v>
      </c>
      <c r="F49" s="13" t="s">
        <v>185</v>
      </c>
      <c r="G49" s="38"/>
      <c r="H49" s="32"/>
      <c r="I49" s="62"/>
    </row>
    <row r="50" spans="1:9" ht="112">
      <c r="A50" s="1"/>
      <c r="B50" s="29" t="s">
        <v>186</v>
      </c>
      <c r="C50" s="35" t="s">
        <v>187</v>
      </c>
      <c r="D50" s="13" t="s">
        <v>188</v>
      </c>
      <c r="E50" s="13">
        <v>23.4</v>
      </c>
      <c r="F50" s="13" t="s">
        <v>189</v>
      </c>
      <c r="G50" s="63" t="s">
        <v>4</v>
      </c>
      <c r="H50" s="35" t="s">
        <v>190</v>
      </c>
      <c r="I50" s="64" t="s">
        <v>191</v>
      </c>
    </row>
    <row r="51" spans="1:9" ht="70">
      <c r="A51" s="1"/>
      <c r="B51" s="1"/>
      <c r="C51" s="18"/>
      <c r="D51" s="13" t="s">
        <v>192</v>
      </c>
      <c r="E51" s="13" t="s">
        <v>193</v>
      </c>
      <c r="F51" s="13" t="s">
        <v>68</v>
      </c>
      <c r="G51" s="63" t="s">
        <v>4</v>
      </c>
      <c r="H51" s="65"/>
      <c r="I51" s="64" t="s">
        <v>194</v>
      </c>
    </row>
    <row r="52" spans="1:9" ht="210">
      <c r="A52" s="1"/>
      <c r="B52" s="1"/>
      <c r="C52" s="18"/>
      <c r="D52" s="13" t="s">
        <v>195</v>
      </c>
      <c r="E52" s="66">
        <v>1530</v>
      </c>
      <c r="F52" s="66" t="s">
        <v>196</v>
      </c>
      <c r="G52" s="63" t="s">
        <v>4</v>
      </c>
      <c r="H52" s="65"/>
      <c r="I52" s="64" t="s">
        <v>197</v>
      </c>
    </row>
    <row r="53" spans="1:9" ht="84">
      <c r="A53" s="1"/>
      <c r="B53" s="1"/>
      <c r="C53" s="18"/>
      <c r="D53" s="13" t="s">
        <v>198</v>
      </c>
      <c r="E53" s="66">
        <v>1876</v>
      </c>
      <c r="F53" s="66" t="s">
        <v>199</v>
      </c>
      <c r="G53" s="63" t="s">
        <v>4</v>
      </c>
      <c r="H53" s="65"/>
      <c r="I53" s="64" t="s">
        <v>200</v>
      </c>
    </row>
    <row r="54" spans="1:9" ht="84">
      <c r="A54" s="1"/>
      <c r="B54" s="1"/>
      <c r="C54" s="21"/>
      <c r="D54" s="13" t="s">
        <v>201</v>
      </c>
      <c r="E54" s="66">
        <f>E53-E52</f>
        <v>346</v>
      </c>
      <c r="F54" s="66" t="s">
        <v>202</v>
      </c>
      <c r="G54" s="63" t="s">
        <v>4</v>
      </c>
      <c r="H54" s="67"/>
      <c r="I54" s="64" t="s">
        <v>203</v>
      </c>
    </row>
    <row r="55" spans="1:9" ht="98">
      <c r="A55" s="1"/>
      <c r="B55" s="1"/>
      <c r="C55" s="35" t="s">
        <v>204</v>
      </c>
      <c r="D55" s="13" t="s">
        <v>205</v>
      </c>
      <c r="E55" s="66" t="s">
        <v>75</v>
      </c>
      <c r="F55" s="66" t="s">
        <v>75</v>
      </c>
      <c r="G55" s="68" t="s">
        <v>76</v>
      </c>
      <c r="H55" s="31" t="s">
        <v>206</v>
      </c>
      <c r="I55" s="50" t="s">
        <v>207</v>
      </c>
    </row>
    <row r="56" spans="1:9" ht="140">
      <c r="A56" s="1"/>
      <c r="B56" s="1"/>
      <c r="C56" s="18"/>
      <c r="D56" s="13" t="s">
        <v>208</v>
      </c>
      <c r="E56" s="66" t="s">
        <v>209</v>
      </c>
      <c r="F56" s="66" t="s">
        <v>209</v>
      </c>
      <c r="G56" s="69"/>
      <c r="H56" s="34"/>
      <c r="I56" s="50" t="s">
        <v>210</v>
      </c>
    </row>
    <row r="57" spans="1:9" ht="84">
      <c r="A57" s="1"/>
      <c r="B57" s="1"/>
      <c r="C57" s="18"/>
      <c r="D57" s="13" t="s">
        <v>211</v>
      </c>
      <c r="E57" s="66" t="s">
        <v>209</v>
      </c>
      <c r="F57" s="66" t="s">
        <v>209</v>
      </c>
      <c r="G57" s="69"/>
      <c r="H57" s="34"/>
      <c r="I57" s="50" t="s">
        <v>212</v>
      </c>
    </row>
    <row r="58" spans="1:9" ht="84">
      <c r="A58" s="1"/>
      <c r="B58" s="1"/>
      <c r="C58" s="21"/>
      <c r="D58" s="13" t="s">
        <v>213</v>
      </c>
      <c r="E58" s="66" t="s">
        <v>214</v>
      </c>
      <c r="F58" s="66" t="s">
        <v>209</v>
      </c>
      <c r="G58" s="70"/>
      <c r="H58" s="32"/>
      <c r="I58" s="50" t="s">
        <v>215</v>
      </c>
    </row>
    <row r="59" spans="1:9" ht="42">
      <c r="A59" s="1"/>
      <c r="B59" s="1"/>
      <c r="C59" s="35" t="s">
        <v>216</v>
      </c>
      <c r="D59" s="13" t="s">
        <v>217</v>
      </c>
      <c r="E59" s="66">
        <v>158</v>
      </c>
      <c r="F59" s="66" t="s">
        <v>218</v>
      </c>
      <c r="G59" s="69" t="s">
        <v>219</v>
      </c>
      <c r="H59" s="34" t="s">
        <v>220</v>
      </c>
      <c r="I59" s="64" t="s">
        <v>221</v>
      </c>
    </row>
    <row r="60" spans="1:9" ht="84">
      <c r="A60" s="1"/>
      <c r="B60" s="1"/>
      <c r="C60" s="18"/>
      <c r="D60" s="13" t="s">
        <v>222</v>
      </c>
      <c r="E60" s="66">
        <v>88</v>
      </c>
      <c r="F60" s="66" t="s">
        <v>223</v>
      </c>
      <c r="G60" s="69"/>
      <c r="H60" s="34"/>
      <c r="I60" s="64" t="s">
        <v>224</v>
      </c>
    </row>
    <row r="61" spans="1:9" ht="56">
      <c r="A61" s="1"/>
      <c r="B61" s="1"/>
      <c r="C61" s="18"/>
      <c r="D61" s="13" t="s">
        <v>225</v>
      </c>
      <c r="E61" s="66">
        <v>105</v>
      </c>
      <c r="F61" s="66" t="s">
        <v>226</v>
      </c>
      <c r="G61" s="69"/>
      <c r="H61" s="34"/>
      <c r="I61" s="50" t="s">
        <v>227</v>
      </c>
    </row>
    <row r="62" spans="1:9" ht="56">
      <c r="A62" s="1"/>
      <c r="B62" s="1"/>
      <c r="C62" s="18"/>
      <c r="D62" s="13" t="s">
        <v>228</v>
      </c>
      <c r="E62" s="66">
        <v>121</v>
      </c>
      <c r="F62" s="66" t="s">
        <v>229</v>
      </c>
      <c r="G62" s="69"/>
      <c r="H62" s="34"/>
      <c r="I62" s="50" t="s">
        <v>230</v>
      </c>
    </row>
    <row r="63" spans="1:9" ht="56">
      <c r="A63" s="1"/>
      <c r="B63" s="1"/>
      <c r="C63" s="21"/>
      <c r="D63" s="13" t="s">
        <v>231</v>
      </c>
      <c r="E63" s="66">
        <v>147</v>
      </c>
      <c r="F63" s="66" t="s">
        <v>232</v>
      </c>
      <c r="G63" s="70"/>
      <c r="H63" s="32"/>
      <c r="I63" s="50" t="s">
        <v>233</v>
      </c>
    </row>
    <row r="64" spans="1:9" ht="56">
      <c r="A64" s="1"/>
      <c r="B64" s="29" t="s">
        <v>234</v>
      </c>
      <c r="C64" s="12" t="s">
        <v>235</v>
      </c>
      <c r="D64" s="13" t="s">
        <v>236</v>
      </c>
      <c r="E64" s="71">
        <v>0.25</v>
      </c>
      <c r="F64" s="66" t="s">
        <v>237</v>
      </c>
      <c r="G64" s="68" t="s">
        <v>238</v>
      </c>
      <c r="H64" s="31" t="s">
        <v>239</v>
      </c>
      <c r="I64" s="50" t="s">
        <v>240</v>
      </c>
    </row>
    <row r="65" spans="1:9" ht="56">
      <c r="A65" s="1"/>
      <c r="B65" s="29"/>
      <c r="C65" s="18"/>
      <c r="D65" s="13" t="s">
        <v>241</v>
      </c>
      <c r="E65" s="71">
        <v>0.45</v>
      </c>
      <c r="F65" s="66" t="s">
        <v>242</v>
      </c>
      <c r="G65" s="69"/>
      <c r="H65" s="34"/>
      <c r="I65" s="50" t="s">
        <v>243</v>
      </c>
    </row>
    <row r="66" spans="1:9" ht="84">
      <c r="A66" s="1"/>
      <c r="B66" s="29"/>
      <c r="C66" s="21"/>
      <c r="D66" s="13" t="s">
        <v>244</v>
      </c>
      <c r="E66" s="71" t="s">
        <v>245</v>
      </c>
      <c r="F66" s="66" t="s">
        <v>245</v>
      </c>
      <c r="G66" s="70"/>
      <c r="H66" s="32"/>
      <c r="I66" s="50" t="s">
        <v>246</v>
      </c>
    </row>
    <row r="67" spans="1:9" ht="56">
      <c r="A67" s="1"/>
      <c r="B67" s="29"/>
      <c r="C67" s="12" t="s">
        <v>247</v>
      </c>
      <c r="D67" s="13" t="s">
        <v>248</v>
      </c>
      <c r="E67" s="71">
        <v>0.35</v>
      </c>
      <c r="F67" s="66" t="s">
        <v>237</v>
      </c>
      <c r="G67" s="72" t="s">
        <v>249</v>
      </c>
      <c r="H67" s="31" t="s">
        <v>250</v>
      </c>
      <c r="I67" s="50" t="s">
        <v>240</v>
      </c>
    </row>
    <row r="68" spans="1:9" ht="56">
      <c r="A68" s="1"/>
      <c r="B68" s="29"/>
      <c r="C68" s="18"/>
      <c r="D68" s="13" t="s">
        <v>251</v>
      </c>
      <c r="E68" s="71">
        <v>0.55000000000000004</v>
      </c>
      <c r="F68" s="66" t="s">
        <v>242</v>
      </c>
      <c r="G68" s="73"/>
      <c r="H68" s="34"/>
      <c r="I68" s="50" t="s">
        <v>243</v>
      </c>
    </row>
    <row r="69" spans="1:9" ht="98">
      <c r="A69" s="1"/>
      <c r="B69" s="29"/>
      <c r="C69" s="21"/>
      <c r="D69" s="13" t="s">
        <v>252</v>
      </c>
      <c r="E69" s="71" t="s">
        <v>253</v>
      </c>
      <c r="F69" s="71" t="s">
        <v>253</v>
      </c>
      <c r="G69" s="74"/>
      <c r="H69" s="32"/>
      <c r="I69" s="50" t="s">
        <v>254</v>
      </c>
    </row>
    <row r="70" spans="1:9" ht="84">
      <c r="A70" s="1"/>
      <c r="B70" s="29" t="s">
        <v>255</v>
      </c>
      <c r="C70" s="12" t="s">
        <v>256</v>
      </c>
      <c r="D70" s="13" t="s">
        <v>257</v>
      </c>
      <c r="E70" s="71">
        <v>0.32</v>
      </c>
      <c r="F70" s="66" t="s">
        <v>258</v>
      </c>
      <c r="G70" s="68" t="s">
        <v>144</v>
      </c>
      <c r="H70" s="31" t="s">
        <v>259</v>
      </c>
      <c r="I70" s="50" t="s">
        <v>260</v>
      </c>
    </row>
    <row r="71" spans="1:9" ht="70">
      <c r="A71" s="1"/>
      <c r="B71" s="1"/>
      <c r="C71" s="21"/>
      <c r="D71" s="13" t="s">
        <v>82</v>
      </c>
      <c r="E71" s="71" t="s">
        <v>261</v>
      </c>
      <c r="F71" s="66" t="s">
        <v>261</v>
      </c>
      <c r="G71" s="70"/>
      <c r="H71" s="32"/>
      <c r="I71" s="50" t="s">
        <v>262</v>
      </c>
    </row>
    <row r="72" spans="1:9" ht="98">
      <c r="A72" s="1"/>
      <c r="B72" s="1"/>
      <c r="C72" s="12" t="s">
        <v>263</v>
      </c>
      <c r="D72" s="13" t="s">
        <v>257</v>
      </c>
      <c r="E72" s="71">
        <v>0.52</v>
      </c>
      <c r="F72" s="66" t="s">
        <v>258</v>
      </c>
      <c r="G72" s="68" t="s">
        <v>264</v>
      </c>
      <c r="H72" s="31" t="s">
        <v>265</v>
      </c>
      <c r="I72" s="50" t="s">
        <v>266</v>
      </c>
    </row>
    <row r="73" spans="1:9" ht="70">
      <c r="A73" s="1"/>
      <c r="B73" s="1"/>
      <c r="C73" s="21"/>
      <c r="D73" s="13" t="s">
        <v>82</v>
      </c>
      <c r="E73" s="71" t="s">
        <v>267</v>
      </c>
      <c r="F73" s="66" t="s">
        <v>261</v>
      </c>
      <c r="G73" s="70"/>
      <c r="H73" s="32"/>
      <c r="I73" s="50" t="s">
        <v>268</v>
      </c>
    </row>
    <row r="74" spans="1:9" ht="84">
      <c r="A74" s="1"/>
      <c r="B74" s="1"/>
      <c r="C74" s="12" t="s">
        <v>269</v>
      </c>
      <c r="D74" s="75" t="s">
        <v>257</v>
      </c>
      <c r="E74" s="71">
        <v>0.21</v>
      </c>
      <c r="F74" s="66" t="s">
        <v>258</v>
      </c>
      <c r="G74" s="68" t="s">
        <v>270</v>
      </c>
      <c r="H74" s="31" t="s">
        <v>271</v>
      </c>
      <c r="I74" s="50" t="s">
        <v>272</v>
      </c>
    </row>
    <row r="75" spans="1:9" ht="70">
      <c r="A75" s="1"/>
      <c r="B75" s="1"/>
      <c r="C75" s="21"/>
      <c r="D75" s="76" t="s">
        <v>82</v>
      </c>
      <c r="E75" s="71" t="s">
        <v>261</v>
      </c>
      <c r="F75" s="66" t="s">
        <v>261</v>
      </c>
      <c r="G75" s="70"/>
      <c r="H75" s="32"/>
      <c r="I75" s="50" t="s">
        <v>273</v>
      </c>
    </row>
  </sheetData>
  <mergeCells count="69">
    <mergeCell ref="B70:B75"/>
    <mergeCell ref="C70:C71"/>
    <mergeCell ref="G70:G71"/>
    <mergeCell ref="H70:H71"/>
    <mergeCell ref="C72:C73"/>
    <mergeCell ref="G72:G73"/>
    <mergeCell ref="H72:H73"/>
    <mergeCell ref="C74:C75"/>
    <mergeCell ref="G74:G75"/>
    <mergeCell ref="H74:H75"/>
    <mergeCell ref="G59:G63"/>
    <mergeCell ref="H59:H63"/>
    <mergeCell ref="B64:B69"/>
    <mergeCell ref="C64:C66"/>
    <mergeCell ref="G64:G66"/>
    <mergeCell ref="H64:H66"/>
    <mergeCell ref="C67:C69"/>
    <mergeCell ref="G67:G69"/>
    <mergeCell ref="H67:H69"/>
    <mergeCell ref="I44:I49"/>
    <mergeCell ref="C47:C49"/>
    <mergeCell ref="G47:G49"/>
    <mergeCell ref="B50:B63"/>
    <mergeCell ref="C50:C54"/>
    <mergeCell ref="H50:H54"/>
    <mergeCell ref="C55:C58"/>
    <mergeCell ref="G55:G58"/>
    <mergeCell ref="H55:H58"/>
    <mergeCell ref="C59:C63"/>
    <mergeCell ref="B42:C43"/>
    <mergeCell ref="G42:G43"/>
    <mergeCell ref="H42:H43"/>
    <mergeCell ref="B44:B49"/>
    <mergeCell ref="C44:C46"/>
    <mergeCell ref="G44:G46"/>
    <mergeCell ref="H44:H49"/>
    <mergeCell ref="B37:B41"/>
    <mergeCell ref="C37:C40"/>
    <mergeCell ref="E37:E40"/>
    <mergeCell ref="F37:F40"/>
    <mergeCell ref="G37:G40"/>
    <mergeCell ref="H37:H40"/>
    <mergeCell ref="D41:F41"/>
    <mergeCell ref="C25:C26"/>
    <mergeCell ref="G25:G26"/>
    <mergeCell ref="H25:H26"/>
    <mergeCell ref="C27:C29"/>
    <mergeCell ref="C30:C36"/>
    <mergeCell ref="H30:H36"/>
    <mergeCell ref="C11:C15"/>
    <mergeCell ref="H11:H19"/>
    <mergeCell ref="C16:C19"/>
    <mergeCell ref="A20:A75"/>
    <mergeCell ref="B20:B24"/>
    <mergeCell ref="C20:C21"/>
    <mergeCell ref="H20:H21"/>
    <mergeCell ref="C22:C24"/>
    <mergeCell ref="H22:H24"/>
    <mergeCell ref="B25:B36"/>
    <mergeCell ref="A1:A19"/>
    <mergeCell ref="B1:C2"/>
    <mergeCell ref="B3:B10"/>
    <mergeCell ref="C3:C6"/>
    <mergeCell ref="G3:G6"/>
    <mergeCell ref="H3:H6"/>
    <mergeCell ref="C7:C10"/>
    <mergeCell ref="G7:G10"/>
    <mergeCell ref="H7:H10"/>
    <mergeCell ref="B11:B19"/>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 Shuang</dc:creator>
  <cp:lastModifiedBy>Yan Shuang</cp:lastModifiedBy>
  <dcterms:created xsi:type="dcterms:W3CDTF">2026-04-24T01:02:18Z</dcterms:created>
  <dcterms:modified xsi:type="dcterms:W3CDTF">2026-04-24T01:02:43Z</dcterms:modified>
</cp:coreProperties>
</file>